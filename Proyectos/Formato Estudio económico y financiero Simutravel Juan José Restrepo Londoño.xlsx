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9A536C05-EEA6-4B96-8B04-CEA302454F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ujo de Caj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6" i="2" l="1"/>
  <c r="C107" i="2"/>
  <c r="F9" i="2"/>
  <c r="I54" i="2" l="1"/>
  <c r="I55" i="2"/>
  <c r="I56" i="2"/>
  <c r="I57" i="2"/>
  <c r="I58" i="2"/>
  <c r="I45" i="2"/>
  <c r="I46" i="2"/>
  <c r="I47" i="2"/>
  <c r="I48" i="2"/>
  <c r="I49" i="2"/>
  <c r="I25" i="2"/>
  <c r="I26" i="2"/>
  <c r="I27" i="2"/>
  <c r="C28" i="2"/>
  <c r="D28" i="2"/>
  <c r="E28" i="2"/>
  <c r="F28" i="2"/>
  <c r="G28" i="2"/>
  <c r="H28" i="2"/>
  <c r="I31" i="2"/>
  <c r="I32" i="2"/>
  <c r="I33" i="2"/>
  <c r="I34" i="2"/>
  <c r="I35" i="2"/>
  <c r="I36" i="2"/>
  <c r="I37" i="2"/>
  <c r="I38" i="2"/>
  <c r="I39" i="2"/>
  <c r="C40" i="2"/>
  <c r="D40" i="2"/>
  <c r="E40" i="2"/>
  <c r="F40" i="2"/>
  <c r="G40" i="2"/>
  <c r="H40" i="2"/>
  <c r="D9" i="2"/>
  <c r="I28" i="2" l="1"/>
  <c r="I40" i="2"/>
  <c r="D120" i="2"/>
  <c r="D119" i="2"/>
  <c r="D118" i="2"/>
  <c r="D117" i="2"/>
  <c r="D116" i="2"/>
  <c r="D115" i="2"/>
  <c r="D82" i="2" l="1"/>
  <c r="E82" i="2"/>
  <c r="F82" i="2"/>
  <c r="G82" i="2"/>
  <c r="H82" i="2"/>
  <c r="D72" i="2"/>
  <c r="E72" i="2"/>
  <c r="F72" i="2"/>
  <c r="G72" i="2"/>
  <c r="H72" i="2"/>
  <c r="H98" i="2"/>
  <c r="G98" i="2"/>
  <c r="F98" i="2"/>
  <c r="E98" i="2"/>
  <c r="D98" i="2"/>
  <c r="C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C82" i="2"/>
  <c r="I81" i="2"/>
  <c r="I80" i="2"/>
  <c r="I79" i="2"/>
  <c r="I78" i="2"/>
  <c r="I77" i="2"/>
  <c r="I76" i="2"/>
  <c r="I75" i="2"/>
  <c r="C72" i="2"/>
  <c r="I71" i="2"/>
  <c r="I70" i="2"/>
  <c r="I69" i="2"/>
  <c r="I68" i="2"/>
  <c r="I67" i="2"/>
  <c r="I66" i="2"/>
  <c r="H59" i="2"/>
  <c r="G59" i="2"/>
  <c r="F59" i="2"/>
  <c r="E59" i="2"/>
  <c r="D59" i="2"/>
  <c r="C59" i="2"/>
  <c r="H51" i="2"/>
  <c r="G51" i="2"/>
  <c r="F51" i="2"/>
  <c r="E51" i="2"/>
  <c r="D51" i="2"/>
  <c r="C51" i="2"/>
  <c r="I50" i="2"/>
  <c r="H22" i="2"/>
  <c r="G22" i="2"/>
  <c r="F22" i="2"/>
  <c r="E22" i="2"/>
  <c r="D22" i="2"/>
  <c r="C22" i="2"/>
  <c r="I21" i="2"/>
  <c r="H14" i="2"/>
  <c r="G14" i="2"/>
  <c r="F14" i="2"/>
  <c r="E14" i="2"/>
  <c r="D14" i="2"/>
  <c r="D16" i="2" s="1"/>
  <c r="D104" i="2" s="1"/>
  <c r="C14" i="2"/>
  <c r="I13" i="2"/>
  <c r="I12" i="2"/>
  <c r="H9" i="2"/>
  <c r="G9" i="2"/>
  <c r="I8" i="2"/>
  <c r="E42" i="2" l="1"/>
  <c r="E61" i="2" s="1"/>
  <c r="F16" i="2"/>
  <c r="F104" i="2" s="1"/>
  <c r="F42" i="2"/>
  <c r="F61" i="2" s="1"/>
  <c r="C16" i="2"/>
  <c r="C42" i="2"/>
  <c r="C61" i="2" s="1"/>
  <c r="C100" i="2"/>
  <c r="E100" i="2"/>
  <c r="H100" i="2"/>
  <c r="D100" i="2"/>
  <c r="H16" i="2"/>
  <c r="H104" i="2" s="1"/>
  <c r="G16" i="2"/>
  <c r="G104" i="2" s="1"/>
  <c r="I51" i="2"/>
  <c r="G100" i="2"/>
  <c r="G42" i="2"/>
  <c r="G61" i="2" s="1"/>
  <c r="F100" i="2"/>
  <c r="I98" i="2"/>
  <c r="I82" i="2"/>
  <c r="I72" i="2"/>
  <c r="I59" i="2"/>
  <c r="I61" i="2" s="1"/>
  <c r="D42" i="2"/>
  <c r="D61" i="2" s="1"/>
  <c r="H42" i="2"/>
  <c r="H61" i="2" s="1"/>
  <c r="I22" i="2"/>
  <c r="E16" i="2"/>
  <c r="E104" i="2" s="1"/>
  <c r="I14" i="2"/>
  <c r="I9" i="2"/>
  <c r="F102" i="2" l="1"/>
  <c r="F105" i="2" s="1"/>
  <c r="F106" i="2" s="1"/>
  <c r="C102" i="2"/>
  <c r="E102" i="2"/>
  <c r="E105" i="2" s="1"/>
  <c r="E106" i="2" s="1"/>
  <c r="G102" i="2"/>
  <c r="G105" i="2" s="1"/>
  <c r="G106" i="2" s="1"/>
  <c r="H102" i="2"/>
  <c r="H105" i="2" s="1"/>
  <c r="H106" i="2" s="1"/>
  <c r="I100" i="2"/>
  <c r="D102" i="2"/>
  <c r="I16" i="2"/>
  <c r="I42" i="2"/>
  <c r="D105" i="2" l="1"/>
  <c r="D106" i="2" s="1"/>
  <c r="D107" i="2" s="1"/>
  <c r="I102" i="2"/>
  <c r="D111" i="2" l="1"/>
  <c r="E107" i="2"/>
  <c r="F107" i="2" s="1"/>
  <c r="F111" i="2" s="1"/>
  <c r="E111" i="2" l="1"/>
  <c r="G107" i="2"/>
  <c r="G111" i="2" s="1"/>
  <c r="H107" i="2" l="1"/>
  <c r="H111" i="2" s="1"/>
  <c r="H117" i="2"/>
  <c r="H115" i="2"/>
  <c r="H116" i="2" l="1"/>
</calcChain>
</file>

<file path=xl/sharedStrings.xml><?xml version="1.0" encoding="utf-8"?>
<sst xmlns="http://schemas.openxmlformats.org/spreadsheetml/2006/main" count="113" uniqueCount="112">
  <si>
    <t>Flujo de caja</t>
  </si>
  <si>
    <t>PERÍODOS (AÑOS)</t>
  </si>
  <si>
    <t>Ingresos de Capital</t>
  </si>
  <si>
    <t>Ingresos de Operación</t>
  </si>
  <si>
    <t>Subtotal Ingresos de Capital</t>
  </si>
  <si>
    <t>Subtotal Ingresos de Operación</t>
  </si>
  <si>
    <t>Ingresos complementarios</t>
  </si>
  <si>
    <t>TOTAL INGRESOS (de Capital +Operación)</t>
  </si>
  <si>
    <t>Costos de Operación</t>
  </si>
  <si>
    <t>TOTAL EGRESOS</t>
  </si>
  <si>
    <t>Total</t>
  </si>
  <si>
    <t>SALDO INICIAL DE CAJA (Ingresos - Egresos)</t>
  </si>
  <si>
    <t>INGRESOS</t>
  </si>
  <si>
    <t>Costos de Inversión Inicial</t>
  </si>
  <si>
    <t>Costos de Inversión Diferida</t>
  </si>
  <si>
    <t>Reposición de Maquinaria y Equipo</t>
  </si>
  <si>
    <t>Ampliación y Remodelación de Instalaciones</t>
  </si>
  <si>
    <t>Subtotal Costos de Inversión Diferida</t>
  </si>
  <si>
    <t>Transporte Materia Prima</t>
  </si>
  <si>
    <t>Mano de obra directa de la operación</t>
  </si>
  <si>
    <t>Horas Extras - Mano de Obra Directa de operación</t>
  </si>
  <si>
    <t>Subtotal Costos de Operación y/o Producción</t>
  </si>
  <si>
    <t>Costos de Operación y/o Producción</t>
  </si>
  <si>
    <t>Mantenimiento de Maquinaria y equipos especializados</t>
  </si>
  <si>
    <t>Cambio de tecnología</t>
  </si>
  <si>
    <t>Materia prima</t>
  </si>
  <si>
    <t>Almacenamiento de Materia Prima</t>
  </si>
  <si>
    <t>Dotación de elementos de Protección Personal</t>
  </si>
  <si>
    <t>Almacenamiento de Productos Terminados</t>
  </si>
  <si>
    <t>Embalaje de Productos Terminados</t>
  </si>
  <si>
    <t>Costos de Ventas (Comercialización)</t>
  </si>
  <si>
    <t>Marketing</t>
  </si>
  <si>
    <t>Fuerza de venta</t>
  </si>
  <si>
    <t>Arrendamiento de Locales</t>
  </si>
  <si>
    <t>Transporte de mercancías a centros de comercialización</t>
  </si>
  <si>
    <t>Fletes y Seguros</t>
  </si>
  <si>
    <t>Otros gastos de comercialización</t>
  </si>
  <si>
    <t>Sueldos</t>
  </si>
  <si>
    <t>Bonificaciones</t>
  </si>
  <si>
    <t>Vacaciones</t>
  </si>
  <si>
    <t>Subsidio de Transporte (Si Aplica)</t>
  </si>
  <si>
    <t>Vigilancia (Seguridad)</t>
  </si>
  <si>
    <t>Servicios Públicos</t>
  </si>
  <si>
    <t>Utensilios de oficina y papelería</t>
  </si>
  <si>
    <t>Cafetería</t>
  </si>
  <si>
    <t>Aseo y Mantenimiento General</t>
  </si>
  <si>
    <t>Seguros</t>
  </si>
  <si>
    <t>Impuestos</t>
  </si>
  <si>
    <t>Honorarios</t>
  </si>
  <si>
    <t>Programas de Bienestar Laboral</t>
  </si>
  <si>
    <t>Pasajes y Viáticos</t>
  </si>
  <si>
    <t>Amortización de Capital</t>
  </si>
  <si>
    <t>Pago de intereses créditos</t>
  </si>
  <si>
    <t>Seguros de créditos</t>
  </si>
  <si>
    <t>Comisiones y Cuotas de Manejo</t>
  </si>
  <si>
    <t>Diferencia cambiaria (transacciones en moneda extranjera)</t>
  </si>
  <si>
    <t>Capital Accionario (Inversión inicial de los socios)</t>
  </si>
  <si>
    <t>Ventas en efectivo de Bienes o Servicios</t>
  </si>
  <si>
    <t>Subtotal Costos de Comercialización</t>
  </si>
  <si>
    <t>Costos o Gastos Financieros</t>
  </si>
  <si>
    <t>Subtotal Costos o Gastos Financieros</t>
  </si>
  <si>
    <t>Sena (2%)</t>
  </si>
  <si>
    <t>ICBF (3%)</t>
  </si>
  <si>
    <t>Salud (12,5%)</t>
  </si>
  <si>
    <t>Pensión (16%)</t>
  </si>
  <si>
    <t>Cesantías (8,33%)</t>
  </si>
  <si>
    <t>Cajas de Compensación (4%)</t>
  </si>
  <si>
    <t>Internet</t>
  </si>
  <si>
    <t>Asesoría Judicial</t>
  </si>
  <si>
    <t xml:space="preserve"> Bienestar Social</t>
  </si>
  <si>
    <t>Subtotal Costos de Inversión Inicial</t>
  </si>
  <si>
    <t>Total Costos de Inversión (Inicial + Diferida + Operación)</t>
  </si>
  <si>
    <t>Primas</t>
  </si>
  <si>
    <t>Intereses a las Cesantías</t>
  </si>
  <si>
    <t>ARL - Administradora de Riesgos Laborales (0,52%)</t>
  </si>
  <si>
    <t>COSTOS</t>
  </si>
  <si>
    <t>GASTOS</t>
  </si>
  <si>
    <t>Subtotal Castos de Administración (Personal)</t>
  </si>
  <si>
    <t>Gastos de Transferencia (Prestaciones sociales)</t>
  </si>
  <si>
    <t>Subtotal Gastos de Transferencia</t>
  </si>
  <si>
    <t>Gastos de Administración (Gastos Generales)</t>
  </si>
  <si>
    <t>Gastos de Administración (Gastos Personal)</t>
  </si>
  <si>
    <t>Subtotal Gastos de Administración (Gastos Generales)</t>
  </si>
  <si>
    <t>TOTAL COSTOS (Inversión+ Comercialización + Financieros)</t>
  </si>
  <si>
    <t>TOTAL GASTOS (Personal + Transferencia + Generales)</t>
  </si>
  <si>
    <t>TOTAL INGRESOS</t>
  </si>
  <si>
    <t>TOTAL EGRESOS (COSTOS Y GASTOS)</t>
  </si>
  <si>
    <t>SALDOS NETOS EN CAJA</t>
  </si>
  <si>
    <t>Parámetros de Proyección (Incremento)</t>
  </si>
  <si>
    <t>Ventas</t>
  </si>
  <si>
    <t>% de Incremento</t>
  </si>
  <si>
    <t>Gastos de Personal</t>
  </si>
  <si>
    <t>T.o</t>
  </si>
  <si>
    <t>VP</t>
  </si>
  <si>
    <t>VPN</t>
  </si>
  <si>
    <t>TIR</t>
  </si>
  <si>
    <t>B/C</t>
  </si>
  <si>
    <t>Transferencias</t>
  </si>
  <si>
    <t>Gastos Generales</t>
  </si>
  <si>
    <t>Gastos de Ventas (Comercialización)</t>
  </si>
  <si>
    <t>Análisis del Proyecto</t>
  </si>
  <si>
    <t>TIR &gt; VPN: Se aceptan los proyectos cuya tasa de retorno sea mayor al costo o tasa de oportunidad del capital a invertir</t>
  </si>
  <si>
    <t>VPN &gt; 0: La inversión produciría ganancias por encima de la rentabilidad exigida</t>
  </si>
  <si>
    <t>VPN &lt; 0: La inversión produciría pérdidas por debajo de la rentabilidad exigida</t>
  </si>
  <si>
    <t>VPN = 0: La inversión no produciría ni perdidas ni ganancias</t>
  </si>
  <si>
    <t xml:space="preserve">B/C &gt; 1, se recomienda el proyecto </t>
  </si>
  <si>
    <t xml:space="preserve">B/C = 1, es indiferente el proyecto </t>
  </si>
  <si>
    <t>B/C &lt; 1, se rechaza el proyecto</t>
  </si>
  <si>
    <t>De acuerdo con los resultados obtenidos en sus indicadores, a continuación presente los argumentos o análisis sobre la viabilidad financiera del proyecto.</t>
  </si>
  <si>
    <t xml:space="preserve">Tecnologias (licencias, software, integración) </t>
  </si>
  <si>
    <t>El proyecto SimuTravel es viable y rentable. Genera utilidad neta, cumple con la normativa colombiana y presenta indicadores financieros que respaldan su ejecución.</t>
  </si>
  <si>
    <t>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</si>
</sst>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164" formatCode="_-[$$-240A]\ * #,##0.00_-;\-[$$-240A]\ * #,##0.00_-;_-[$$-240A]\ * &quot;-&quot;??_-;_-@_-"/>
    <numFmt numFmtId="165" formatCode="_-[$$-240A]\ * #,##0.0_-;\-[$$-240A]\ * #,##0.0_-;_-[$$-240A]\ * &quot;-&quot;??_-;_-@_-"/>
    <numFmt numFmtId="166" formatCode="0.0"/>
  </numFmts>
  <fonts count="9" x14ac:knownFonts="1">
    <font>
      <sz val="11"/>
      <color theme="1"/>
      <name val="Calibri"/>
      <family val="2"/>
      <scheme val="minor"/>
    </font>
    <font>
      <sz val="28"/>
      <color theme="8" tint="-0.249977111117893"/>
      <name val="Franklin Gothic Demi Cond"/>
      <family val="2"/>
    </font>
    <font>
      <b/>
      <sz val="11"/>
      <color theme="1"/>
      <name val="Franklin Gothic Medium"/>
      <family val="2"/>
    </font>
    <font>
      <sz val="16"/>
      <color theme="1"/>
      <name val="Franklin Gothic Medium"/>
      <family val="2"/>
    </font>
    <font>
      <sz val="11"/>
      <color theme="1"/>
      <name val="Franklin Gothic Medium"/>
      <family val="2"/>
    </font>
    <font>
      <sz val="10"/>
      <color theme="0" tint="-0.499984740745262"/>
      <name val="Franklin Gothic Medium"/>
      <family val="2"/>
    </font>
    <font>
      <sz val="10"/>
      <color theme="1" tint="0.499984740745262"/>
      <name val="Franklin Gothic Medium"/>
      <family val="2"/>
    </font>
    <font>
      <sz val="11"/>
      <color theme="1"/>
      <name val="Calibri"/>
      <family val="2"/>
      <scheme val="minor"/>
    </font>
    <font>
      <sz val="10"/>
      <color theme="1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theme="1" tint="0.24994659260841701"/>
      </bottom>
      <diagonal/>
    </border>
    <border>
      <left style="dotted">
        <color theme="1" tint="0.24994659260841701"/>
      </left>
      <right style="dotted">
        <color theme="1" tint="0.24994659260841701"/>
      </right>
      <top/>
      <bottom style="thick">
        <color theme="8"/>
      </bottom>
      <diagonal/>
    </border>
    <border>
      <left/>
      <right/>
      <top/>
      <bottom style="medium">
        <color theme="8"/>
      </bottom>
      <diagonal/>
    </border>
    <border>
      <left/>
      <right/>
      <top style="double">
        <color theme="1" tint="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4" fillId="2" borderId="3" xfId="0" applyFont="1" applyFill="1" applyBorder="1"/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0" borderId="1" xfId="0" applyFont="1" applyBorder="1"/>
    <xf numFmtId="0" fontId="0" fillId="0" borderId="0" xfId="0" applyAlignment="1">
      <alignment horizontal="center"/>
    </xf>
    <xf numFmtId="0" fontId="4" fillId="3" borderId="0" xfId="0" applyFont="1" applyFill="1"/>
    <xf numFmtId="0" fontId="0" fillId="3" borderId="0" xfId="0" applyFill="1"/>
    <xf numFmtId="0" fontId="4" fillId="2" borderId="3" xfId="0" applyFont="1" applyFill="1" applyBorder="1" applyAlignment="1">
      <alignment wrapText="1"/>
    </xf>
    <xf numFmtId="0" fontId="4" fillId="4" borderId="5" xfId="0" applyFont="1" applyFill="1" applyBorder="1"/>
    <xf numFmtId="164" fontId="0" fillId="4" borderId="6" xfId="0" applyNumberFormat="1" applyFill="1" applyBorder="1"/>
    <xf numFmtId="164" fontId="0" fillId="4" borderId="7" xfId="0" applyNumberFormat="1" applyFill="1" applyBorder="1"/>
    <xf numFmtId="0" fontId="5" fillId="0" borderId="8" xfId="0" applyFont="1" applyBorder="1"/>
    <xf numFmtId="0" fontId="5" fillId="4" borderId="8" xfId="0" applyFont="1" applyFill="1" applyBorder="1"/>
    <xf numFmtId="0" fontId="5" fillId="5" borderId="8" xfId="0" applyFont="1" applyFill="1" applyBorder="1"/>
    <xf numFmtId="0" fontId="5" fillId="0" borderId="0" xfId="0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indent="1"/>
    </xf>
    <xf numFmtId="10" fontId="5" fillId="0" borderId="8" xfId="1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8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65" fontId="0" fillId="0" borderId="0" xfId="0" applyNumberFormat="1"/>
    <xf numFmtId="165" fontId="0" fillId="4" borderId="0" xfId="0" applyNumberFormat="1" applyFill="1"/>
    <xf numFmtId="165" fontId="0" fillId="2" borderId="3" xfId="0" applyNumberFormat="1" applyFill="1" applyBorder="1"/>
    <xf numFmtId="165" fontId="0" fillId="4" borderId="6" xfId="0" applyNumberFormat="1" applyFill="1" applyBorder="1"/>
    <xf numFmtId="165" fontId="0" fillId="4" borderId="7" xfId="0" applyNumberFormat="1" applyFill="1" applyBorder="1"/>
    <xf numFmtId="165" fontId="0" fillId="3" borderId="0" xfId="0" applyNumberFormat="1" applyFill="1"/>
    <xf numFmtId="165" fontId="0" fillId="2" borderId="3" xfId="0" applyNumberFormat="1" applyFill="1" applyBorder="1" applyAlignment="1">
      <alignment vertical="center"/>
    </xf>
    <xf numFmtId="165" fontId="5" fillId="0" borderId="8" xfId="0" applyNumberFormat="1" applyFont="1" applyBorder="1"/>
    <xf numFmtId="165" fontId="5" fillId="4" borderId="8" xfId="0" applyNumberFormat="1" applyFont="1" applyFill="1" applyBorder="1"/>
    <xf numFmtId="165" fontId="5" fillId="5" borderId="8" xfId="0" applyNumberFormat="1" applyFont="1" applyFill="1" applyBorder="1"/>
    <xf numFmtId="166" fontId="0" fillId="0" borderId="8" xfId="0" applyNumberFormat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4" xfId="0" applyBorder="1" applyAlignment="1">
      <alignment horizontal="center"/>
    </xf>
    <xf numFmtId="164" fontId="0" fillId="4" borderId="8" xfId="0" applyNumberForma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wrapText="1"/>
    </xf>
    <xf numFmtId="0" fontId="8" fillId="4" borderId="10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wrapText="1"/>
    </xf>
    <xf numFmtId="0" fontId="8" fillId="4" borderId="16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7"/>
  <sheetViews>
    <sheetView tabSelected="1" zoomScaleNormal="100" workbookViewId="0">
      <selection activeCell="B4" sqref="B4"/>
    </sheetView>
  </sheetViews>
  <sheetFormatPr baseColWidth="10" defaultRowHeight="15" x14ac:dyDescent="0.25"/>
  <cols>
    <col min="2" max="2" width="64.28515625" bestFit="1" customWidth="1"/>
    <col min="3" max="3" width="13.85546875" bestFit="1" customWidth="1"/>
    <col min="4" max="4" width="14.5703125" bestFit="1" customWidth="1"/>
    <col min="5" max="6" width="15" bestFit="1" customWidth="1"/>
    <col min="7" max="7" width="16.28515625" bestFit="1" customWidth="1"/>
    <col min="8" max="8" width="42.7109375" customWidth="1"/>
    <col min="9" max="9" width="19.42578125" customWidth="1"/>
  </cols>
  <sheetData>
    <row r="1" spans="2:9" ht="35.25" thickBot="1" x14ac:dyDescent="0.5">
      <c r="B1" s="6" t="s">
        <v>0</v>
      </c>
      <c r="C1" s="6"/>
      <c r="D1" s="6"/>
      <c r="E1" s="6"/>
      <c r="F1" s="6"/>
      <c r="G1" s="6"/>
      <c r="H1" s="6"/>
      <c r="I1" s="6"/>
    </row>
    <row r="2" spans="2:9" ht="16.5" thickTop="1" x14ac:dyDescent="0.3">
      <c r="B2" s="1"/>
      <c r="C2" s="39" t="s">
        <v>1</v>
      </c>
      <c r="D2" s="39"/>
      <c r="E2" s="39"/>
      <c r="F2" s="39"/>
      <c r="G2" s="39"/>
      <c r="H2" s="39"/>
      <c r="I2" s="7"/>
    </row>
    <row r="3" spans="2:9" ht="21.75" thickBot="1" x14ac:dyDescent="0.4">
      <c r="B3" s="1"/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 t="s">
        <v>10</v>
      </c>
    </row>
    <row r="4" spans="2:9" ht="16.5" thickTop="1" x14ac:dyDescent="0.3">
      <c r="B4" s="1"/>
    </row>
    <row r="5" spans="2:9" ht="15.75" x14ac:dyDescent="0.3">
      <c r="B5" s="8" t="s">
        <v>12</v>
      </c>
      <c r="C5" s="9"/>
      <c r="D5" s="9"/>
      <c r="E5" s="9"/>
      <c r="F5" s="9"/>
      <c r="G5" s="9"/>
      <c r="H5" s="9"/>
      <c r="I5" s="9"/>
    </row>
    <row r="6" spans="2:9" ht="15.75" x14ac:dyDescent="0.3">
      <c r="B6" s="1"/>
    </row>
    <row r="7" spans="2:9" ht="15.75" x14ac:dyDescent="0.3">
      <c r="B7" s="11" t="s">
        <v>2</v>
      </c>
      <c r="C7" s="12"/>
      <c r="D7" s="12"/>
      <c r="E7" s="12"/>
      <c r="F7" s="12"/>
      <c r="G7" s="12"/>
      <c r="H7" s="12"/>
      <c r="I7" s="13"/>
    </row>
    <row r="8" spans="2:9" ht="15.75" thickBot="1" x14ac:dyDescent="0.3">
      <c r="B8" s="4" t="s">
        <v>56</v>
      </c>
      <c r="C8" s="27">
        <v>0</v>
      </c>
      <c r="D8" s="25">
        <v>5000000</v>
      </c>
      <c r="E8" s="25">
        <v>10000000</v>
      </c>
      <c r="F8" s="25">
        <v>15000000</v>
      </c>
      <c r="G8" s="25">
        <v>20000000</v>
      </c>
      <c r="H8" s="25">
        <v>40000000</v>
      </c>
      <c r="I8" s="26">
        <f>+SUM(C8:H8)</f>
        <v>90000000</v>
      </c>
    </row>
    <row r="9" spans="2:9" ht="16.5" thickBot="1" x14ac:dyDescent="0.35">
      <c r="B9" s="3" t="s">
        <v>4</v>
      </c>
      <c r="C9" s="27">
        <v>0</v>
      </c>
      <c r="D9" s="27">
        <f>SUM(D8:D8)</f>
        <v>5000000</v>
      </c>
      <c r="E9" s="25">
        <v>10000000</v>
      </c>
      <c r="F9" s="27">
        <f>SUM(F8:F8)</f>
        <v>15000000</v>
      </c>
      <c r="G9" s="27">
        <f>SUM(G8:G8)</f>
        <v>20000000</v>
      </c>
      <c r="H9" s="27">
        <f>SUM(H8:H8)</f>
        <v>40000000</v>
      </c>
      <c r="I9" s="27">
        <f>SUM(I8:I8)</f>
        <v>90000000</v>
      </c>
    </row>
    <row r="10" spans="2:9" ht="15.75" x14ac:dyDescent="0.3">
      <c r="B10" s="1"/>
      <c r="C10" s="25"/>
      <c r="D10" s="25"/>
      <c r="E10" s="25"/>
      <c r="F10" s="25"/>
      <c r="G10" s="25"/>
      <c r="H10" s="25"/>
      <c r="I10" s="25"/>
    </row>
    <row r="11" spans="2:9" ht="15.75" x14ac:dyDescent="0.3">
      <c r="B11" s="11" t="s">
        <v>3</v>
      </c>
      <c r="C11" s="28"/>
      <c r="D11" s="28"/>
      <c r="E11" s="28"/>
      <c r="F11" s="28"/>
      <c r="G11" s="28"/>
      <c r="H11" s="28"/>
      <c r="I11" s="29"/>
    </row>
    <row r="12" spans="2:9" x14ac:dyDescent="0.25">
      <c r="B12" s="4" t="s">
        <v>57</v>
      </c>
      <c r="C12" s="25">
        <v>0</v>
      </c>
      <c r="D12" s="25">
        <v>0</v>
      </c>
      <c r="E12" s="25">
        <v>30000000</v>
      </c>
      <c r="F12" s="25">
        <v>35000000</v>
      </c>
      <c r="G12" s="25">
        <v>40000000</v>
      </c>
      <c r="H12" s="25">
        <v>45000000</v>
      </c>
      <c r="I12" s="26">
        <f>SUM(C12:H12)</f>
        <v>150000000</v>
      </c>
    </row>
    <row r="13" spans="2:9" x14ac:dyDescent="0.25">
      <c r="B13" s="4" t="s">
        <v>6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6">
        <f t="shared" ref="I13" si="0">SUM(C13:H13)</f>
        <v>0</v>
      </c>
    </row>
    <row r="14" spans="2:9" ht="16.5" thickBot="1" x14ac:dyDescent="0.35">
      <c r="B14" s="3" t="s">
        <v>5</v>
      </c>
      <c r="C14" s="27">
        <f t="shared" ref="C14:I14" si="1">SUM(C12:C13)</f>
        <v>0</v>
      </c>
      <c r="D14" s="27">
        <f t="shared" si="1"/>
        <v>0</v>
      </c>
      <c r="E14" s="27">
        <f t="shared" si="1"/>
        <v>30000000</v>
      </c>
      <c r="F14" s="27">
        <f t="shared" si="1"/>
        <v>35000000</v>
      </c>
      <c r="G14" s="27">
        <f t="shared" si="1"/>
        <v>40000000</v>
      </c>
      <c r="H14" s="27">
        <f t="shared" si="1"/>
        <v>45000000</v>
      </c>
      <c r="I14" s="27">
        <f t="shared" si="1"/>
        <v>150000000</v>
      </c>
    </row>
    <row r="15" spans="2:9" ht="15.75" x14ac:dyDescent="0.3">
      <c r="B15" s="1"/>
      <c r="C15" s="25"/>
      <c r="D15" s="25"/>
      <c r="E15" s="25"/>
      <c r="F15" s="25"/>
      <c r="G15" s="25"/>
      <c r="H15" s="25"/>
      <c r="I15" s="25"/>
    </row>
    <row r="16" spans="2:9" ht="16.5" thickBot="1" x14ac:dyDescent="0.35">
      <c r="B16" s="3" t="s">
        <v>7</v>
      </c>
      <c r="C16" s="27">
        <f t="shared" ref="C16:I16" si="2">+C9+C14</f>
        <v>0</v>
      </c>
      <c r="D16" s="27">
        <f t="shared" si="2"/>
        <v>5000000</v>
      </c>
      <c r="E16" s="27">
        <f t="shared" si="2"/>
        <v>40000000</v>
      </c>
      <c r="F16" s="27">
        <f t="shared" si="2"/>
        <v>50000000</v>
      </c>
      <c r="G16" s="27">
        <f t="shared" si="2"/>
        <v>60000000</v>
      </c>
      <c r="H16" s="27">
        <f t="shared" si="2"/>
        <v>85000000</v>
      </c>
      <c r="I16" s="27">
        <f t="shared" si="2"/>
        <v>240000000</v>
      </c>
    </row>
    <row r="17" spans="2:9" ht="15.75" x14ac:dyDescent="0.3">
      <c r="B17" s="1"/>
      <c r="C17" s="25"/>
      <c r="D17" s="25"/>
      <c r="E17" s="25"/>
      <c r="F17" s="25"/>
      <c r="G17" s="25"/>
      <c r="H17" s="25"/>
      <c r="I17" s="25"/>
    </row>
    <row r="18" spans="2:9" ht="15.75" x14ac:dyDescent="0.3">
      <c r="B18" s="8" t="s">
        <v>75</v>
      </c>
      <c r="C18" s="30"/>
      <c r="D18" s="30"/>
      <c r="E18" s="30"/>
      <c r="F18" s="30"/>
      <c r="G18" s="30"/>
      <c r="H18" s="30"/>
      <c r="I18" s="30"/>
    </row>
    <row r="19" spans="2:9" ht="15.75" x14ac:dyDescent="0.3">
      <c r="B19" s="1"/>
      <c r="C19" s="25"/>
      <c r="D19" s="25"/>
      <c r="E19" s="25"/>
      <c r="F19" s="25"/>
      <c r="G19" s="25"/>
      <c r="H19" s="25"/>
      <c r="I19" s="25"/>
    </row>
    <row r="20" spans="2:9" ht="15.75" x14ac:dyDescent="0.3">
      <c r="B20" s="11" t="s">
        <v>13</v>
      </c>
      <c r="C20" s="28"/>
      <c r="D20" s="28"/>
      <c r="E20" s="28"/>
      <c r="F20" s="28"/>
      <c r="G20" s="28"/>
      <c r="H20" s="28"/>
      <c r="I20" s="29"/>
    </row>
    <row r="21" spans="2:9" x14ac:dyDescent="0.25">
      <c r="B21" s="4" t="s">
        <v>109</v>
      </c>
      <c r="C21" s="25">
        <v>0</v>
      </c>
      <c r="D21" s="25">
        <v>5000000</v>
      </c>
      <c r="E21" s="25">
        <v>0</v>
      </c>
      <c r="F21" s="25">
        <v>0</v>
      </c>
      <c r="G21" s="25">
        <v>0</v>
      </c>
      <c r="H21" s="25">
        <v>0</v>
      </c>
      <c r="I21" s="26">
        <f t="shared" ref="I21" si="3">SUM(C21:H21)</f>
        <v>5000000</v>
      </c>
    </row>
    <row r="22" spans="2:9" ht="16.5" thickBot="1" x14ac:dyDescent="0.35">
      <c r="B22" s="3" t="s">
        <v>70</v>
      </c>
      <c r="C22" s="27">
        <f t="shared" ref="C22:I22" si="4">SUM(C21:C21)</f>
        <v>0</v>
      </c>
      <c r="D22" s="27">
        <f t="shared" si="4"/>
        <v>5000000</v>
      </c>
      <c r="E22" s="27">
        <f t="shared" si="4"/>
        <v>0</v>
      </c>
      <c r="F22" s="27">
        <f t="shared" si="4"/>
        <v>0</v>
      </c>
      <c r="G22" s="27">
        <f t="shared" si="4"/>
        <v>0</v>
      </c>
      <c r="H22" s="27">
        <f t="shared" si="4"/>
        <v>0</v>
      </c>
      <c r="I22" s="27">
        <f t="shared" si="4"/>
        <v>5000000</v>
      </c>
    </row>
    <row r="23" spans="2:9" ht="15.75" x14ac:dyDescent="0.3">
      <c r="B23" s="1"/>
      <c r="C23" s="25"/>
      <c r="D23" s="25"/>
      <c r="E23" s="25"/>
      <c r="F23" s="25"/>
      <c r="G23" s="25"/>
      <c r="H23" s="25"/>
      <c r="I23" s="25"/>
    </row>
    <row r="24" spans="2:9" ht="15.75" x14ac:dyDescent="0.3">
      <c r="B24" s="11" t="s">
        <v>14</v>
      </c>
      <c r="C24" s="28"/>
      <c r="D24" s="28"/>
      <c r="E24" s="28"/>
      <c r="F24" s="28"/>
      <c r="G24" s="28"/>
      <c r="H24" s="28"/>
      <c r="I24" s="29"/>
    </row>
    <row r="25" spans="2:9" x14ac:dyDescent="0.25">
      <c r="B25" s="4" t="s">
        <v>15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6">
        <f>SUM(C25:H25)</f>
        <v>0</v>
      </c>
    </row>
    <row r="26" spans="2:9" x14ac:dyDescent="0.25">
      <c r="B26" s="4" t="s">
        <v>16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6">
        <f t="shared" ref="I26:I27" si="5">SUM(C26:H26)</f>
        <v>0</v>
      </c>
    </row>
    <row r="27" spans="2:9" x14ac:dyDescent="0.25">
      <c r="B27" s="4" t="s">
        <v>24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f t="shared" si="5"/>
        <v>0</v>
      </c>
    </row>
    <row r="28" spans="2:9" ht="16.5" thickBot="1" x14ac:dyDescent="0.35">
      <c r="B28" s="3" t="s">
        <v>17</v>
      </c>
      <c r="C28" s="27">
        <f>SUM(C25:C27)</f>
        <v>0</v>
      </c>
      <c r="D28" s="27">
        <f>SUM(D25:D27)</f>
        <v>0</v>
      </c>
      <c r="E28" s="27">
        <f>SUM(E25:E27)</f>
        <v>0</v>
      </c>
      <c r="F28" s="27">
        <f t="shared" ref="F28:G28" si="6">SUM(F25:F27)</f>
        <v>0</v>
      </c>
      <c r="G28" s="27">
        <f t="shared" si="6"/>
        <v>0</v>
      </c>
      <c r="H28" s="27">
        <f>SUM(H25:H27)</f>
        <v>0</v>
      </c>
      <c r="I28" s="27">
        <f>SUM(I25:I27)</f>
        <v>0</v>
      </c>
    </row>
    <row r="29" spans="2:9" ht="15.75" x14ac:dyDescent="0.3">
      <c r="B29" s="1"/>
      <c r="C29" s="25"/>
      <c r="D29" s="25"/>
      <c r="E29" s="25"/>
      <c r="F29" s="25"/>
      <c r="G29" s="25"/>
      <c r="H29" s="25"/>
      <c r="I29" s="25"/>
    </row>
    <row r="30" spans="2:9" ht="15.75" x14ac:dyDescent="0.3">
      <c r="B30" s="11" t="s">
        <v>22</v>
      </c>
      <c r="C30" s="28"/>
      <c r="D30" s="28"/>
      <c r="E30" s="28"/>
      <c r="F30" s="28"/>
      <c r="G30" s="28"/>
      <c r="H30" s="28"/>
      <c r="I30" s="29"/>
    </row>
    <row r="31" spans="2:9" x14ac:dyDescent="0.25">
      <c r="B31" s="4" t="s">
        <v>25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6">
        <f t="shared" ref="I31:I39" si="7">SUM(C31:H31)</f>
        <v>0</v>
      </c>
    </row>
    <row r="32" spans="2:9" x14ac:dyDescent="0.25">
      <c r="B32" s="4" t="s">
        <v>18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6">
        <f t="shared" si="7"/>
        <v>0</v>
      </c>
    </row>
    <row r="33" spans="2:9" x14ac:dyDescent="0.25">
      <c r="B33" s="4" t="s">
        <v>26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6">
        <f t="shared" si="7"/>
        <v>0</v>
      </c>
    </row>
    <row r="34" spans="2:9" x14ac:dyDescent="0.25">
      <c r="B34" s="4" t="s">
        <v>19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6">
        <f t="shared" si="7"/>
        <v>0</v>
      </c>
    </row>
    <row r="35" spans="2:9" x14ac:dyDescent="0.25">
      <c r="B35" s="4" t="s">
        <v>20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6">
        <f t="shared" si="7"/>
        <v>0</v>
      </c>
    </row>
    <row r="36" spans="2:9" x14ac:dyDescent="0.25">
      <c r="B36" s="4" t="s">
        <v>23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6">
        <f t="shared" si="7"/>
        <v>0</v>
      </c>
    </row>
    <row r="37" spans="2:9" x14ac:dyDescent="0.25">
      <c r="B37" s="4" t="s">
        <v>27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6">
        <f t="shared" si="7"/>
        <v>0</v>
      </c>
    </row>
    <row r="38" spans="2:9" x14ac:dyDescent="0.25">
      <c r="B38" s="4" t="s">
        <v>29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6">
        <f t="shared" si="7"/>
        <v>0</v>
      </c>
    </row>
    <row r="39" spans="2:9" x14ac:dyDescent="0.25">
      <c r="B39" s="4" t="s">
        <v>28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6">
        <f t="shared" si="7"/>
        <v>0</v>
      </c>
    </row>
    <row r="40" spans="2:9" ht="16.5" thickBot="1" x14ac:dyDescent="0.35">
      <c r="B40" s="3" t="s">
        <v>21</v>
      </c>
      <c r="C40" s="27">
        <f t="shared" ref="C40:I40" si="8">SUM(C31:C39)</f>
        <v>0</v>
      </c>
      <c r="D40" s="27">
        <f t="shared" si="8"/>
        <v>0</v>
      </c>
      <c r="E40" s="27">
        <f t="shared" si="8"/>
        <v>0</v>
      </c>
      <c r="F40" s="27">
        <f t="shared" si="8"/>
        <v>0</v>
      </c>
      <c r="G40" s="27">
        <f t="shared" si="8"/>
        <v>0</v>
      </c>
      <c r="H40" s="27">
        <f t="shared" si="8"/>
        <v>0</v>
      </c>
      <c r="I40" s="27">
        <f t="shared" si="8"/>
        <v>0</v>
      </c>
    </row>
    <row r="41" spans="2:9" ht="15.75" x14ac:dyDescent="0.3">
      <c r="B41" s="1"/>
      <c r="C41" s="25"/>
      <c r="D41" s="25"/>
      <c r="E41" s="25"/>
      <c r="F41" s="25"/>
      <c r="G41" s="25"/>
      <c r="H41" s="25"/>
      <c r="I41" s="25"/>
    </row>
    <row r="42" spans="2:9" ht="16.5" thickBot="1" x14ac:dyDescent="0.35">
      <c r="B42" s="3" t="s">
        <v>71</v>
      </c>
      <c r="C42" s="27">
        <f t="shared" ref="C42:I42" si="9">+C22+C28+C40</f>
        <v>0</v>
      </c>
      <c r="D42" s="27">
        <f t="shared" si="9"/>
        <v>5000000</v>
      </c>
      <c r="E42" s="27">
        <f t="shared" si="9"/>
        <v>0</v>
      </c>
      <c r="F42" s="27">
        <f t="shared" si="9"/>
        <v>0</v>
      </c>
      <c r="G42" s="27">
        <f t="shared" si="9"/>
        <v>0</v>
      </c>
      <c r="H42" s="27">
        <f t="shared" si="9"/>
        <v>0</v>
      </c>
      <c r="I42" s="27">
        <f t="shared" si="9"/>
        <v>5000000</v>
      </c>
    </row>
    <row r="43" spans="2:9" ht="15.75" x14ac:dyDescent="0.3">
      <c r="B43" s="1"/>
      <c r="C43" s="25"/>
      <c r="D43" s="25"/>
      <c r="E43" s="25"/>
      <c r="F43" s="25"/>
      <c r="G43" s="25"/>
      <c r="H43" s="25"/>
      <c r="I43" s="25"/>
    </row>
    <row r="44" spans="2:9" ht="15.75" x14ac:dyDescent="0.3">
      <c r="B44" s="11" t="s">
        <v>30</v>
      </c>
      <c r="C44" s="28"/>
      <c r="D44" s="28"/>
      <c r="E44" s="28"/>
      <c r="F44" s="28"/>
      <c r="G44" s="28"/>
      <c r="H44" s="28"/>
      <c r="I44" s="29"/>
    </row>
    <row r="45" spans="2:9" x14ac:dyDescent="0.25">
      <c r="B45" s="4" t="s">
        <v>31</v>
      </c>
      <c r="C45" s="25">
        <v>0</v>
      </c>
      <c r="D45" s="25">
        <v>0</v>
      </c>
      <c r="E45" s="25">
        <v>300000</v>
      </c>
      <c r="F45" s="25">
        <v>315000</v>
      </c>
      <c r="G45" s="25">
        <v>330000</v>
      </c>
      <c r="H45" s="25">
        <v>0</v>
      </c>
      <c r="I45" s="26">
        <f>SUM(C45:H45)</f>
        <v>945000</v>
      </c>
    </row>
    <row r="46" spans="2:9" x14ac:dyDescent="0.25">
      <c r="B46" s="4" t="s">
        <v>32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6">
        <f t="shared" ref="I46:I50" si="10">SUM(C46:H46)</f>
        <v>0</v>
      </c>
    </row>
    <row r="47" spans="2:9" x14ac:dyDescent="0.25">
      <c r="B47" s="4" t="s">
        <v>33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6">
        <f t="shared" si="10"/>
        <v>0</v>
      </c>
    </row>
    <row r="48" spans="2:9" x14ac:dyDescent="0.25">
      <c r="B48" s="4" t="s">
        <v>34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6">
        <f t="shared" si="10"/>
        <v>0</v>
      </c>
    </row>
    <row r="49" spans="2:9" x14ac:dyDescent="0.25">
      <c r="B49" s="4" t="s">
        <v>35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6">
        <f t="shared" si="10"/>
        <v>0</v>
      </c>
    </row>
    <row r="50" spans="2:9" x14ac:dyDescent="0.25">
      <c r="B50" s="4" t="s">
        <v>36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6">
        <f t="shared" si="10"/>
        <v>0</v>
      </c>
    </row>
    <row r="51" spans="2:9" ht="16.5" thickBot="1" x14ac:dyDescent="0.35">
      <c r="B51" s="3" t="s">
        <v>58</v>
      </c>
      <c r="C51" s="27">
        <f t="shared" ref="C51:I51" si="11">SUM(C45:C50)</f>
        <v>0</v>
      </c>
      <c r="D51" s="27">
        <f t="shared" si="11"/>
        <v>0</v>
      </c>
      <c r="E51" s="27">
        <f t="shared" si="11"/>
        <v>300000</v>
      </c>
      <c r="F51" s="27">
        <f t="shared" si="11"/>
        <v>315000</v>
      </c>
      <c r="G51" s="27">
        <f t="shared" si="11"/>
        <v>330000</v>
      </c>
      <c r="H51" s="27">
        <f t="shared" si="11"/>
        <v>0</v>
      </c>
      <c r="I51" s="27">
        <f t="shared" si="11"/>
        <v>945000</v>
      </c>
    </row>
    <row r="52" spans="2:9" ht="15.75" x14ac:dyDescent="0.3">
      <c r="B52" s="1"/>
      <c r="C52" s="25"/>
      <c r="D52" s="25"/>
      <c r="E52" s="25"/>
      <c r="F52" s="25"/>
      <c r="G52" s="25"/>
      <c r="H52" s="25"/>
      <c r="I52" s="25"/>
    </row>
    <row r="53" spans="2:9" ht="15.75" x14ac:dyDescent="0.3">
      <c r="B53" s="11" t="s">
        <v>59</v>
      </c>
      <c r="C53" s="28"/>
      <c r="D53" s="28"/>
      <c r="E53" s="28"/>
      <c r="F53" s="28"/>
      <c r="G53" s="28"/>
      <c r="H53" s="28"/>
      <c r="I53" s="29"/>
    </row>
    <row r="54" spans="2:9" x14ac:dyDescent="0.25">
      <c r="B54" s="4" t="s">
        <v>51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6">
        <f t="shared" ref="I54:I58" si="12">SUM(C54:H54)</f>
        <v>0</v>
      </c>
    </row>
    <row r="55" spans="2:9" x14ac:dyDescent="0.25">
      <c r="B55" s="4" t="s">
        <v>52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6">
        <f t="shared" si="12"/>
        <v>0</v>
      </c>
    </row>
    <row r="56" spans="2:9" x14ac:dyDescent="0.25">
      <c r="B56" s="4" t="s">
        <v>53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6">
        <f t="shared" si="12"/>
        <v>0</v>
      </c>
    </row>
    <row r="57" spans="2:9" x14ac:dyDescent="0.25">
      <c r="B57" s="4" t="s">
        <v>54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6">
        <f t="shared" si="12"/>
        <v>0</v>
      </c>
    </row>
    <row r="58" spans="2:9" x14ac:dyDescent="0.25">
      <c r="B58" s="4" t="s">
        <v>55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6">
        <f t="shared" si="12"/>
        <v>0</v>
      </c>
    </row>
    <row r="59" spans="2:9" ht="16.5" thickBot="1" x14ac:dyDescent="0.35">
      <c r="B59" s="3" t="s">
        <v>60</v>
      </c>
      <c r="C59" s="27">
        <f t="shared" ref="C59:I59" si="13">SUM(C54:C58)</f>
        <v>0</v>
      </c>
      <c r="D59" s="27">
        <f t="shared" si="13"/>
        <v>0</v>
      </c>
      <c r="E59" s="27">
        <f t="shared" si="13"/>
        <v>0</v>
      </c>
      <c r="F59" s="27">
        <f t="shared" si="13"/>
        <v>0</v>
      </c>
      <c r="G59" s="27">
        <f t="shared" si="13"/>
        <v>0</v>
      </c>
      <c r="H59" s="27">
        <f t="shared" si="13"/>
        <v>0</v>
      </c>
      <c r="I59" s="27">
        <f t="shared" si="13"/>
        <v>0</v>
      </c>
    </row>
    <row r="60" spans="2:9" ht="15.75" x14ac:dyDescent="0.3">
      <c r="B60" s="1"/>
      <c r="C60" s="25"/>
      <c r="D60" s="25"/>
      <c r="E60" s="25"/>
      <c r="F60" s="25"/>
      <c r="G60" s="25"/>
      <c r="H60" s="25"/>
      <c r="I60" s="25"/>
    </row>
    <row r="61" spans="2:9" ht="16.5" thickBot="1" x14ac:dyDescent="0.35">
      <c r="B61" s="3" t="s">
        <v>83</v>
      </c>
      <c r="C61" s="27">
        <f t="shared" ref="C61:H61" si="14">+C42+C51+C59</f>
        <v>0</v>
      </c>
      <c r="D61" s="27">
        <f t="shared" si="14"/>
        <v>5000000</v>
      </c>
      <c r="E61" s="27">
        <f t="shared" si="14"/>
        <v>300000</v>
      </c>
      <c r="F61" s="27">
        <f t="shared" si="14"/>
        <v>315000</v>
      </c>
      <c r="G61" s="27">
        <f t="shared" si="14"/>
        <v>330000</v>
      </c>
      <c r="H61" s="27">
        <f t="shared" si="14"/>
        <v>0</v>
      </c>
      <c r="I61" s="27">
        <f>+I40+I47+I59</f>
        <v>0</v>
      </c>
    </row>
    <row r="62" spans="2:9" ht="15.75" x14ac:dyDescent="0.3">
      <c r="B62" s="1"/>
      <c r="C62" s="25"/>
      <c r="D62" s="25"/>
      <c r="E62" s="25"/>
      <c r="F62" s="25"/>
      <c r="G62" s="25"/>
      <c r="H62" s="25"/>
      <c r="I62" s="25"/>
    </row>
    <row r="63" spans="2:9" ht="15.75" x14ac:dyDescent="0.3">
      <c r="B63" s="8" t="s">
        <v>76</v>
      </c>
      <c r="C63" s="30"/>
      <c r="D63" s="30"/>
      <c r="E63" s="30"/>
      <c r="F63" s="30"/>
      <c r="G63" s="30"/>
      <c r="H63" s="30"/>
      <c r="I63" s="30"/>
    </row>
    <row r="64" spans="2:9" ht="15.75" x14ac:dyDescent="0.3">
      <c r="B64" s="1"/>
      <c r="C64" s="25"/>
      <c r="D64" s="25"/>
      <c r="E64" s="25"/>
      <c r="F64" s="25"/>
      <c r="G64" s="25"/>
      <c r="H64" s="25"/>
      <c r="I64" s="25"/>
    </row>
    <row r="65" spans="2:9" ht="15.75" x14ac:dyDescent="0.3">
      <c r="B65" s="11" t="s">
        <v>81</v>
      </c>
      <c r="C65" s="28"/>
      <c r="D65" s="28"/>
      <c r="E65" s="28"/>
      <c r="F65" s="28"/>
      <c r="G65" s="28"/>
      <c r="H65" s="28"/>
      <c r="I65" s="29"/>
    </row>
    <row r="66" spans="2:9" x14ac:dyDescent="0.25">
      <c r="B66" s="4" t="s">
        <v>37</v>
      </c>
      <c r="C66" s="25">
        <v>0</v>
      </c>
      <c r="D66" s="25">
        <v>0</v>
      </c>
      <c r="E66" s="25">
        <v>0</v>
      </c>
      <c r="F66" s="25">
        <v>4000000</v>
      </c>
      <c r="G66" s="25">
        <v>4140000</v>
      </c>
      <c r="H66" s="25">
        <v>4285000</v>
      </c>
      <c r="I66" s="26">
        <f t="shared" ref="I66:I71" si="15">SUM(C66:H66)</f>
        <v>12425000</v>
      </c>
    </row>
    <row r="67" spans="2:9" x14ac:dyDescent="0.25">
      <c r="B67" s="4" t="s">
        <v>38</v>
      </c>
      <c r="C67" s="25">
        <v>0</v>
      </c>
      <c r="D67" s="25">
        <v>0</v>
      </c>
      <c r="E67" s="25">
        <v>0</v>
      </c>
      <c r="F67" s="25">
        <v>333200</v>
      </c>
      <c r="G67" s="25">
        <v>344220</v>
      </c>
      <c r="H67" s="25">
        <v>356190</v>
      </c>
      <c r="I67" s="26">
        <f t="shared" si="15"/>
        <v>1033610</v>
      </c>
    </row>
    <row r="68" spans="2:9" x14ac:dyDescent="0.25">
      <c r="B68" s="4" t="s">
        <v>72</v>
      </c>
      <c r="C68" s="25">
        <v>0</v>
      </c>
      <c r="D68" s="25">
        <v>0</v>
      </c>
      <c r="E68" s="25">
        <v>0</v>
      </c>
      <c r="F68" s="25">
        <v>333200</v>
      </c>
      <c r="G68" s="25">
        <v>344220</v>
      </c>
      <c r="H68" s="25">
        <v>356190</v>
      </c>
      <c r="I68" s="26">
        <f t="shared" si="15"/>
        <v>1033610</v>
      </c>
    </row>
    <row r="69" spans="2:9" x14ac:dyDescent="0.25">
      <c r="B69" s="4" t="s">
        <v>39</v>
      </c>
      <c r="C69" s="25">
        <v>0</v>
      </c>
      <c r="D69" s="25">
        <v>0</v>
      </c>
      <c r="E69" s="25">
        <v>0</v>
      </c>
      <c r="F69" s="25">
        <v>133280</v>
      </c>
      <c r="G69" s="25">
        <v>137460</v>
      </c>
      <c r="H69" s="25">
        <v>142070</v>
      </c>
      <c r="I69" s="26">
        <f t="shared" si="15"/>
        <v>412810</v>
      </c>
    </row>
    <row r="70" spans="2:9" x14ac:dyDescent="0.25">
      <c r="B70" s="4" t="s">
        <v>40</v>
      </c>
      <c r="C70" s="25">
        <v>0</v>
      </c>
      <c r="D70" s="25">
        <v>0</v>
      </c>
      <c r="E70" s="25">
        <v>0</v>
      </c>
      <c r="F70" s="25">
        <v>140606</v>
      </c>
      <c r="G70" s="25">
        <v>145927</v>
      </c>
      <c r="H70" s="25">
        <v>151534</v>
      </c>
      <c r="I70" s="26">
        <f t="shared" si="15"/>
        <v>438067</v>
      </c>
    </row>
    <row r="71" spans="2:9" x14ac:dyDescent="0.25">
      <c r="B71" s="4" t="s">
        <v>73</v>
      </c>
      <c r="C71" s="25">
        <v>0</v>
      </c>
      <c r="D71" s="25">
        <v>0</v>
      </c>
      <c r="E71" s="25">
        <v>0</v>
      </c>
      <c r="F71" s="25">
        <v>33320</v>
      </c>
      <c r="G71" s="25">
        <v>34422</v>
      </c>
      <c r="H71" s="25">
        <v>35619</v>
      </c>
      <c r="I71" s="26">
        <f t="shared" si="15"/>
        <v>103361</v>
      </c>
    </row>
    <row r="72" spans="2:9" ht="16.5" thickBot="1" x14ac:dyDescent="0.35">
      <c r="B72" s="3" t="s">
        <v>77</v>
      </c>
      <c r="C72" s="27">
        <f>SUM(C66:C71)</f>
        <v>0</v>
      </c>
      <c r="D72" s="27">
        <f t="shared" ref="D72:H72" si="16">SUM(D66:D71)</f>
        <v>0</v>
      </c>
      <c r="E72" s="27">
        <f t="shared" si="16"/>
        <v>0</v>
      </c>
      <c r="F72" s="27">
        <f t="shared" si="16"/>
        <v>4973606</v>
      </c>
      <c r="G72" s="27">
        <f t="shared" si="16"/>
        <v>5146249</v>
      </c>
      <c r="H72" s="27">
        <f t="shared" si="16"/>
        <v>5326603</v>
      </c>
      <c r="I72" s="27">
        <f>SUM(I66:I71)</f>
        <v>15446458</v>
      </c>
    </row>
    <row r="73" spans="2:9" ht="15.75" x14ac:dyDescent="0.3">
      <c r="B73" s="1"/>
      <c r="C73" s="25"/>
      <c r="D73" s="25"/>
      <c r="E73" s="25"/>
      <c r="F73" s="25"/>
      <c r="G73" s="25"/>
      <c r="H73" s="25"/>
      <c r="I73" s="25"/>
    </row>
    <row r="74" spans="2:9" ht="15.75" x14ac:dyDescent="0.3">
      <c r="B74" s="11" t="s">
        <v>78</v>
      </c>
      <c r="C74" s="28"/>
      <c r="D74" s="28"/>
      <c r="E74" s="28"/>
      <c r="F74" s="28"/>
      <c r="G74" s="28"/>
      <c r="H74" s="28"/>
      <c r="I74" s="29"/>
    </row>
    <row r="75" spans="2:9" x14ac:dyDescent="0.25">
      <c r="B75" s="4" t="s">
        <v>61</v>
      </c>
      <c r="C75" s="25">
        <v>0</v>
      </c>
      <c r="D75" s="25">
        <v>0</v>
      </c>
      <c r="E75" s="25">
        <v>0</v>
      </c>
      <c r="F75" s="25">
        <v>80000</v>
      </c>
      <c r="G75" s="25">
        <v>82800</v>
      </c>
      <c r="H75" s="25">
        <v>85700</v>
      </c>
      <c r="I75" s="26">
        <f t="shared" ref="I75:I81" si="17">SUM(C75:H75)</f>
        <v>248500</v>
      </c>
    </row>
    <row r="76" spans="2:9" x14ac:dyDescent="0.25">
      <c r="B76" s="4" t="s">
        <v>62</v>
      </c>
      <c r="C76" s="25">
        <v>0</v>
      </c>
      <c r="D76" s="25">
        <v>0</v>
      </c>
      <c r="E76" s="25">
        <v>0</v>
      </c>
      <c r="F76" s="25">
        <v>120000</v>
      </c>
      <c r="G76" s="25">
        <v>124200</v>
      </c>
      <c r="H76" s="25">
        <v>128550</v>
      </c>
      <c r="I76" s="26">
        <f t="shared" si="17"/>
        <v>372750</v>
      </c>
    </row>
    <row r="77" spans="2:9" x14ac:dyDescent="0.25">
      <c r="B77" s="4" t="s">
        <v>63</v>
      </c>
      <c r="C77" s="25">
        <v>0</v>
      </c>
      <c r="D77" s="25">
        <v>0</v>
      </c>
      <c r="E77" s="25">
        <v>0</v>
      </c>
      <c r="F77" s="25">
        <v>500000</v>
      </c>
      <c r="G77" s="25">
        <v>517500</v>
      </c>
      <c r="H77" s="25">
        <v>535625</v>
      </c>
      <c r="I77" s="26">
        <f t="shared" si="17"/>
        <v>1553125</v>
      </c>
    </row>
    <row r="78" spans="2:9" x14ac:dyDescent="0.25">
      <c r="B78" s="4" t="s">
        <v>64</v>
      </c>
      <c r="C78" s="25">
        <v>0</v>
      </c>
      <c r="D78" s="25">
        <v>0</v>
      </c>
      <c r="E78" s="25">
        <v>0</v>
      </c>
      <c r="F78" s="25">
        <v>640000</v>
      </c>
      <c r="G78" s="25">
        <v>662400</v>
      </c>
      <c r="H78" s="25">
        <v>685600</v>
      </c>
      <c r="I78" s="26">
        <f t="shared" si="17"/>
        <v>1988000</v>
      </c>
    </row>
    <row r="79" spans="2:9" x14ac:dyDescent="0.25">
      <c r="B79" s="4" t="s">
        <v>65</v>
      </c>
      <c r="C79" s="25">
        <v>0</v>
      </c>
      <c r="D79" s="25">
        <v>0</v>
      </c>
      <c r="E79" s="25">
        <v>0</v>
      </c>
      <c r="F79" s="25">
        <v>333200</v>
      </c>
      <c r="G79" s="25">
        <v>344220</v>
      </c>
      <c r="H79" s="25">
        <v>356190</v>
      </c>
      <c r="I79" s="26">
        <f t="shared" si="17"/>
        <v>1033610</v>
      </c>
    </row>
    <row r="80" spans="2:9" x14ac:dyDescent="0.25">
      <c r="B80" s="4" t="s">
        <v>66</v>
      </c>
      <c r="C80" s="25">
        <v>0</v>
      </c>
      <c r="D80" s="25">
        <v>0</v>
      </c>
      <c r="E80" s="25">
        <v>0</v>
      </c>
      <c r="F80" s="25">
        <v>160000</v>
      </c>
      <c r="G80" s="25">
        <v>165600</v>
      </c>
      <c r="H80" s="25">
        <v>171400</v>
      </c>
      <c r="I80" s="26">
        <f t="shared" si="17"/>
        <v>497000</v>
      </c>
    </row>
    <row r="81" spans="2:9" x14ac:dyDescent="0.25">
      <c r="B81" s="4" t="s">
        <v>74</v>
      </c>
      <c r="C81" s="25">
        <v>0</v>
      </c>
      <c r="D81" s="25">
        <v>0</v>
      </c>
      <c r="E81" s="25">
        <v>0</v>
      </c>
      <c r="F81" s="25">
        <v>20800</v>
      </c>
      <c r="G81" s="25">
        <v>21528</v>
      </c>
      <c r="H81" s="25">
        <v>22282</v>
      </c>
      <c r="I81" s="26">
        <f t="shared" si="17"/>
        <v>64610</v>
      </c>
    </row>
    <row r="82" spans="2:9" ht="16.5" thickBot="1" x14ac:dyDescent="0.35">
      <c r="B82" s="3" t="s">
        <v>79</v>
      </c>
      <c r="C82" s="27">
        <f>SUM(C75:C81)</f>
        <v>0</v>
      </c>
      <c r="D82" s="27">
        <f t="shared" ref="D82:H82" si="18">SUM(D75:D81)</f>
        <v>0</v>
      </c>
      <c r="E82" s="27">
        <f t="shared" si="18"/>
        <v>0</v>
      </c>
      <c r="F82" s="27">
        <f t="shared" si="18"/>
        <v>1854000</v>
      </c>
      <c r="G82" s="27">
        <f t="shared" si="18"/>
        <v>1918248</v>
      </c>
      <c r="H82" s="27">
        <f t="shared" si="18"/>
        <v>1985347</v>
      </c>
      <c r="I82" s="27">
        <f>SUM(I75:I81)</f>
        <v>5757595</v>
      </c>
    </row>
    <row r="83" spans="2:9" ht="15.75" x14ac:dyDescent="0.3">
      <c r="B83" s="1"/>
      <c r="C83" s="25"/>
      <c r="D83" s="25"/>
      <c r="E83" s="25"/>
      <c r="F83" s="25"/>
      <c r="G83" s="25"/>
      <c r="H83" s="25"/>
      <c r="I83" s="25"/>
    </row>
    <row r="84" spans="2:9" ht="15.75" x14ac:dyDescent="0.3">
      <c r="B84" s="11" t="s">
        <v>80</v>
      </c>
      <c r="C84" s="28"/>
      <c r="D84" s="28"/>
      <c r="E84" s="28"/>
      <c r="F84" s="28"/>
      <c r="G84" s="28"/>
      <c r="H84" s="28"/>
      <c r="I84" s="29"/>
    </row>
    <row r="85" spans="2:9" x14ac:dyDescent="0.25">
      <c r="B85" s="4" t="s">
        <v>41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6">
        <f t="shared" ref="I85:I97" si="19">SUM(C85:H85)</f>
        <v>0</v>
      </c>
    </row>
    <row r="86" spans="2:9" x14ac:dyDescent="0.25">
      <c r="B86" s="4" t="s">
        <v>42</v>
      </c>
      <c r="C86" s="25">
        <v>0</v>
      </c>
      <c r="D86" s="25">
        <v>0</v>
      </c>
      <c r="E86" s="25">
        <v>0</v>
      </c>
      <c r="F86" s="25">
        <v>120000</v>
      </c>
      <c r="G86" s="25">
        <v>130000</v>
      </c>
      <c r="H86" s="25">
        <v>150000</v>
      </c>
      <c r="I86" s="26">
        <f t="shared" si="19"/>
        <v>400000</v>
      </c>
    </row>
    <row r="87" spans="2:9" x14ac:dyDescent="0.25">
      <c r="B87" s="4" t="s">
        <v>43</v>
      </c>
      <c r="C87" s="25">
        <v>0</v>
      </c>
      <c r="D87" s="25">
        <v>0</v>
      </c>
      <c r="E87" s="25">
        <v>0</v>
      </c>
      <c r="F87" s="25">
        <v>50000</v>
      </c>
      <c r="G87" s="25">
        <v>52000</v>
      </c>
      <c r="H87" s="25">
        <v>54000</v>
      </c>
      <c r="I87" s="26">
        <f t="shared" si="19"/>
        <v>156000</v>
      </c>
    </row>
    <row r="88" spans="2:9" x14ac:dyDescent="0.25">
      <c r="B88" s="4" t="s">
        <v>44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  <c r="I88" s="26">
        <f t="shared" si="19"/>
        <v>0</v>
      </c>
    </row>
    <row r="89" spans="2:9" x14ac:dyDescent="0.25">
      <c r="B89" s="4" t="s">
        <v>45</v>
      </c>
      <c r="C89" s="25">
        <v>0</v>
      </c>
      <c r="D89" s="25">
        <v>0</v>
      </c>
      <c r="E89" s="25">
        <v>0</v>
      </c>
      <c r="F89" s="25">
        <v>70000</v>
      </c>
      <c r="G89" s="25">
        <v>75000</v>
      </c>
      <c r="H89" s="25">
        <v>82000</v>
      </c>
      <c r="I89" s="26">
        <f t="shared" si="19"/>
        <v>227000</v>
      </c>
    </row>
    <row r="90" spans="2:9" x14ac:dyDescent="0.25">
      <c r="B90" s="4" t="s">
        <v>46</v>
      </c>
      <c r="C90" s="25">
        <v>0</v>
      </c>
      <c r="D90" s="25">
        <v>0</v>
      </c>
      <c r="E90" s="25">
        <v>0</v>
      </c>
      <c r="F90" s="25">
        <v>120000</v>
      </c>
      <c r="G90" s="25">
        <v>150000</v>
      </c>
      <c r="H90" s="25">
        <v>155000</v>
      </c>
      <c r="I90" s="26">
        <f t="shared" si="19"/>
        <v>425000</v>
      </c>
    </row>
    <row r="91" spans="2:9" x14ac:dyDescent="0.25">
      <c r="B91" s="4" t="s">
        <v>67</v>
      </c>
      <c r="C91" s="25">
        <v>0</v>
      </c>
      <c r="D91" s="25">
        <v>125000</v>
      </c>
      <c r="E91" s="25">
        <v>150000</v>
      </c>
      <c r="F91" s="25">
        <v>155000</v>
      </c>
      <c r="G91" s="25">
        <v>160000</v>
      </c>
      <c r="H91" s="25">
        <v>160000</v>
      </c>
      <c r="I91" s="26">
        <f t="shared" si="19"/>
        <v>750000</v>
      </c>
    </row>
    <row r="92" spans="2:9" x14ac:dyDescent="0.25">
      <c r="B92" s="4" t="s">
        <v>47</v>
      </c>
      <c r="C92" s="25">
        <v>0</v>
      </c>
      <c r="D92" s="25">
        <v>0</v>
      </c>
      <c r="E92" s="25">
        <v>0</v>
      </c>
      <c r="F92" s="25">
        <v>0</v>
      </c>
      <c r="G92" s="25">
        <v>9880000</v>
      </c>
      <c r="H92" s="25">
        <v>10640000</v>
      </c>
      <c r="I92" s="26">
        <f t="shared" si="19"/>
        <v>20520000</v>
      </c>
    </row>
    <row r="93" spans="2:9" x14ac:dyDescent="0.25">
      <c r="B93" s="4" t="s">
        <v>48</v>
      </c>
      <c r="C93" s="25">
        <v>0</v>
      </c>
      <c r="D93" s="25">
        <v>0</v>
      </c>
      <c r="E93" s="25">
        <v>0</v>
      </c>
      <c r="F93" s="25">
        <v>50000</v>
      </c>
      <c r="G93" s="25">
        <v>52000</v>
      </c>
      <c r="H93" s="25">
        <v>54000</v>
      </c>
      <c r="I93" s="26">
        <f t="shared" si="19"/>
        <v>156000</v>
      </c>
    </row>
    <row r="94" spans="2:9" x14ac:dyDescent="0.25">
      <c r="B94" s="4" t="s">
        <v>49</v>
      </c>
      <c r="C94" s="25">
        <v>0</v>
      </c>
      <c r="D94" s="25">
        <v>0</v>
      </c>
      <c r="E94" s="25">
        <v>0</v>
      </c>
      <c r="F94" s="25">
        <v>100000</v>
      </c>
      <c r="G94" s="25">
        <v>104000</v>
      </c>
      <c r="H94" s="25">
        <v>108000</v>
      </c>
      <c r="I94" s="26">
        <f t="shared" si="19"/>
        <v>312000</v>
      </c>
    </row>
    <row r="95" spans="2:9" x14ac:dyDescent="0.25">
      <c r="B95" s="4" t="s">
        <v>68</v>
      </c>
      <c r="C95" s="25">
        <v>0</v>
      </c>
      <c r="D95" s="25">
        <v>0</v>
      </c>
      <c r="E95" s="25">
        <v>2000000</v>
      </c>
      <c r="F95" s="25">
        <v>2000000</v>
      </c>
      <c r="G95" s="25">
        <v>2500000</v>
      </c>
      <c r="H95" s="25">
        <v>3200000</v>
      </c>
      <c r="I95" s="26">
        <f t="shared" si="19"/>
        <v>9700000</v>
      </c>
    </row>
    <row r="96" spans="2:9" x14ac:dyDescent="0.25">
      <c r="B96" s="4" t="s">
        <v>50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6">
        <f t="shared" si="19"/>
        <v>0</v>
      </c>
    </row>
    <row r="97" spans="2:9" x14ac:dyDescent="0.25">
      <c r="B97" s="4" t="s">
        <v>69</v>
      </c>
      <c r="C97" s="25">
        <v>0</v>
      </c>
      <c r="D97" s="25">
        <v>0</v>
      </c>
      <c r="E97" s="25">
        <v>0</v>
      </c>
      <c r="F97" s="25">
        <v>50000</v>
      </c>
      <c r="G97" s="25">
        <v>52000</v>
      </c>
      <c r="H97" s="25">
        <v>54000</v>
      </c>
      <c r="I97" s="26">
        <f t="shared" si="19"/>
        <v>156000</v>
      </c>
    </row>
    <row r="98" spans="2:9" ht="16.5" thickBot="1" x14ac:dyDescent="0.35">
      <c r="B98" s="3" t="s">
        <v>82</v>
      </c>
      <c r="C98" s="27">
        <f t="shared" ref="C98:I98" si="20">SUM(C85:C97)</f>
        <v>0</v>
      </c>
      <c r="D98" s="27">
        <f t="shared" si="20"/>
        <v>125000</v>
      </c>
      <c r="E98" s="27">
        <f t="shared" si="20"/>
        <v>2150000</v>
      </c>
      <c r="F98" s="27">
        <f t="shared" si="20"/>
        <v>2715000</v>
      </c>
      <c r="G98" s="27">
        <f t="shared" si="20"/>
        <v>13155000</v>
      </c>
      <c r="H98" s="27">
        <f t="shared" si="20"/>
        <v>14657000</v>
      </c>
      <c r="I98" s="27">
        <f t="shared" si="20"/>
        <v>32802000</v>
      </c>
    </row>
    <row r="99" spans="2:9" ht="15.75" x14ac:dyDescent="0.3">
      <c r="B99" s="1"/>
      <c r="C99" s="25"/>
      <c r="D99" s="25"/>
      <c r="E99" s="25"/>
      <c r="F99" s="25"/>
      <c r="G99" s="25"/>
      <c r="H99" s="25"/>
      <c r="I99" s="25"/>
    </row>
    <row r="100" spans="2:9" ht="16.5" thickBot="1" x14ac:dyDescent="0.35">
      <c r="B100" s="10" t="s">
        <v>84</v>
      </c>
      <c r="C100" s="31">
        <f>+C72+C82+C98</f>
        <v>0</v>
      </c>
      <c r="D100" s="31">
        <f t="shared" ref="D100:H100" si="21">+D72+D82+D98</f>
        <v>125000</v>
      </c>
      <c r="E100" s="31">
        <f t="shared" si="21"/>
        <v>2150000</v>
      </c>
      <c r="F100" s="31">
        <f t="shared" si="21"/>
        <v>9542606</v>
      </c>
      <c r="G100" s="31">
        <f t="shared" si="21"/>
        <v>20219497</v>
      </c>
      <c r="H100" s="31">
        <f t="shared" si="21"/>
        <v>21968950</v>
      </c>
      <c r="I100" s="31">
        <f>SUM(C100:H100)</f>
        <v>54006053</v>
      </c>
    </row>
    <row r="101" spans="2:9" ht="15.75" x14ac:dyDescent="0.3">
      <c r="B101" s="1"/>
      <c r="C101" s="25"/>
      <c r="D101" s="25"/>
      <c r="E101" s="25"/>
      <c r="F101" s="25"/>
      <c r="G101" s="25"/>
      <c r="H101" s="25"/>
      <c r="I101" s="25"/>
    </row>
    <row r="102" spans="2:9" ht="16.5" thickBot="1" x14ac:dyDescent="0.35">
      <c r="B102" s="3" t="s">
        <v>86</v>
      </c>
      <c r="C102" s="27">
        <f>+C61+C100</f>
        <v>0</v>
      </c>
      <c r="D102" s="27">
        <f t="shared" ref="D102:H102" si="22">+D61+D100</f>
        <v>5125000</v>
      </c>
      <c r="E102" s="27">
        <f t="shared" si="22"/>
        <v>2450000</v>
      </c>
      <c r="F102" s="27">
        <f t="shared" si="22"/>
        <v>9857606</v>
      </c>
      <c r="G102" s="27">
        <f t="shared" si="22"/>
        <v>20549497</v>
      </c>
      <c r="H102" s="27">
        <f t="shared" si="22"/>
        <v>21968950</v>
      </c>
      <c r="I102" s="27">
        <f>SUM(C102:H102)</f>
        <v>59951053</v>
      </c>
    </row>
    <row r="103" spans="2:9" x14ac:dyDescent="0.25">
      <c r="B103" s="5"/>
      <c r="C103" s="25"/>
      <c r="D103" s="25"/>
      <c r="E103" s="25"/>
      <c r="F103" s="25"/>
      <c r="G103" s="25"/>
      <c r="H103" s="25"/>
      <c r="I103" s="25"/>
    </row>
    <row r="104" spans="2:9" x14ac:dyDescent="0.25">
      <c r="B104" s="14" t="s">
        <v>85</v>
      </c>
      <c r="C104" s="32">
        <v>0</v>
      </c>
      <c r="D104" s="32">
        <f>+D16</f>
        <v>5000000</v>
      </c>
      <c r="E104" s="32">
        <f>+E16</f>
        <v>40000000</v>
      </c>
      <c r="F104" s="32">
        <f>+F16</f>
        <v>50000000</v>
      </c>
      <c r="G104" s="32">
        <f>+G16</f>
        <v>60000000</v>
      </c>
      <c r="H104" s="32">
        <f>+H16</f>
        <v>85000000</v>
      </c>
    </row>
    <row r="105" spans="2:9" x14ac:dyDescent="0.25">
      <c r="B105" s="14" t="s">
        <v>9</v>
      </c>
      <c r="C105" s="32">
        <v>0</v>
      </c>
      <c r="D105" s="32">
        <f t="shared" ref="D105:H105" si="23">+D102</f>
        <v>5125000</v>
      </c>
      <c r="E105" s="32">
        <f t="shared" si="23"/>
        <v>2450000</v>
      </c>
      <c r="F105" s="32">
        <f t="shared" si="23"/>
        <v>9857606</v>
      </c>
      <c r="G105" s="32">
        <f t="shared" si="23"/>
        <v>20549497</v>
      </c>
      <c r="H105" s="32">
        <f t="shared" si="23"/>
        <v>21968950</v>
      </c>
    </row>
    <row r="106" spans="2:9" x14ac:dyDescent="0.25">
      <c r="B106" s="15" t="s">
        <v>11</v>
      </c>
      <c r="C106" s="32">
        <f>+C103</f>
        <v>0</v>
      </c>
      <c r="D106" s="33">
        <f>+D104-D105</f>
        <v>-125000</v>
      </c>
      <c r="E106" s="33">
        <f t="shared" ref="E106:G106" si="24">+E104-E105</f>
        <v>37550000</v>
      </c>
      <c r="F106" s="33">
        <f t="shared" si="24"/>
        <v>40142394</v>
      </c>
      <c r="G106" s="33">
        <f t="shared" si="24"/>
        <v>39450503</v>
      </c>
      <c r="H106" s="33">
        <f>+H104-H105</f>
        <v>63031050</v>
      </c>
    </row>
    <row r="107" spans="2:9" x14ac:dyDescent="0.25">
      <c r="B107" s="16" t="s">
        <v>87</v>
      </c>
      <c r="C107" s="34">
        <f>-(C104)</f>
        <v>0</v>
      </c>
      <c r="D107" s="34">
        <f>+D106</f>
        <v>-125000</v>
      </c>
      <c r="E107" s="34">
        <f>++D107+E106</f>
        <v>37425000</v>
      </c>
      <c r="F107" s="34">
        <f t="shared" ref="F107:H107" si="25">++E107+F106</f>
        <v>77567394</v>
      </c>
      <c r="G107" s="34">
        <f t="shared" si="25"/>
        <v>117017897</v>
      </c>
      <c r="H107" s="34">
        <f t="shared" si="25"/>
        <v>180048947</v>
      </c>
    </row>
    <row r="110" spans="2:9" ht="21.75" thickBot="1" x14ac:dyDescent="0.4">
      <c r="B110" s="1"/>
      <c r="C110" s="2">
        <v>0</v>
      </c>
      <c r="D110" s="2">
        <v>1</v>
      </c>
      <c r="E110" s="2">
        <v>2</v>
      </c>
      <c r="F110" s="2">
        <v>3</v>
      </c>
      <c r="G110" s="2">
        <v>4</v>
      </c>
      <c r="H110" s="2">
        <v>5</v>
      </c>
    </row>
    <row r="111" spans="2:9" ht="17.25" thickTop="1" thickBot="1" x14ac:dyDescent="0.35">
      <c r="B111" s="3" t="s">
        <v>87</v>
      </c>
      <c r="C111" s="27">
        <v>0</v>
      </c>
      <c r="D111" s="27">
        <f>+D107</f>
        <v>-125000</v>
      </c>
      <c r="E111" s="27">
        <f t="shared" ref="E111:H111" si="26">+E107</f>
        <v>37425000</v>
      </c>
      <c r="F111" s="27">
        <f t="shared" si="26"/>
        <v>77567394</v>
      </c>
      <c r="G111" s="27">
        <f t="shared" si="26"/>
        <v>117017897</v>
      </c>
      <c r="H111" s="27">
        <f t="shared" si="26"/>
        <v>180048947</v>
      </c>
    </row>
    <row r="114" spans="2:9" ht="30" customHeight="1" x14ac:dyDescent="0.25">
      <c r="B114" s="19" t="s">
        <v>88</v>
      </c>
      <c r="C114" s="40" t="s">
        <v>90</v>
      </c>
      <c r="D114" s="40"/>
      <c r="G114" s="19" t="s">
        <v>92</v>
      </c>
      <c r="H114" s="19">
        <v>0.15</v>
      </c>
    </row>
    <row r="115" spans="2:9" ht="15.75" x14ac:dyDescent="0.25">
      <c r="B115" s="20" t="s">
        <v>89</v>
      </c>
      <c r="C115" s="21">
        <v>4.4999999999999998E-2</v>
      </c>
      <c r="D115" s="22">
        <f>1+(C115)</f>
        <v>1.0449999999999999</v>
      </c>
      <c r="G115" s="19" t="s">
        <v>93</v>
      </c>
      <c r="H115" s="23">
        <f>NPV(H114,D111:H111)+C111</f>
        <v>235613311.82443205</v>
      </c>
    </row>
    <row r="116" spans="2:9" ht="15.75" x14ac:dyDescent="0.25">
      <c r="B116" s="20" t="s">
        <v>8</v>
      </c>
      <c r="C116" s="21">
        <v>4.4999999999999998E-2</v>
      </c>
      <c r="D116" s="22">
        <f t="shared" ref="D116:D120" si="27">1+(C116)</f>
        <v>1.0449999999999999</v>
      </c>
      <c r="G116" s="19" t="s">
        <v>94</v>
      </c>
      <c r="H116" s="23">
        <f>+C111+H115</f>
        <v>235613311.82443205</v>
      </c>
    </row>
    <row r="117" spans="2:9" ht="15.75" x14ac:dyDescent="0.25">
      <c r="B117" s="20" t="s">
        <v>91</v>
      </c>
      <c r="C117" s="21">
        <v>3.5000000000000003E-2</v>
      </c>
      <c r="D117" s="22">
        <f t="shared" si="27"/>
        <v>1.0349999999999999</v>
      </c>
      <c r="G117" s="19" t="s">
        <v>95</v>
      </c>
      <c r="H117" s="24">
        <f>IRR(C111:H111)</f>
        <v>300.46873945329486</v>
      </c>
    </row>
    <row r="118" spans="2:9" ht="15.75" x14ac:dyDescent="0.25">
      <c r="B118" s="20" t="s">
        <v>97</v>
      </c>
      <c r="C118" s="21">
        <v>3.5000000000000003E-2</v>
      </c>
      <c r="D118" s="22">
        <f t="shared" si="27"/>
        <v>1.0349999999999999</v>
      </c>
      <c r="G118" s="19" t="s">
        <v>96</v>
      </c>
      <c r="H118" s="35" t="s">
        <v>111</v>
      </c>
    </row>
    <row r="119" spans="2:9" x14ac:dyDescent="0.25">
      <c r="B119" s="20" t="s">
        <v>98</v>
      </c>
      <c r="C119" s="21">
        <v>0.04</v>
      </c>
      <c r="D119" s="22">
        <f t="shared" si="27"/>
        <v>1.04</v>
      </c>
    </row>
    <row r="120" spans="2:9" x14ac:dyDescent="0.25">
      <c r="B120" s="20" t="s">
        <v>99</v>
      </c>
      <c r="C120" s="21">
        <v>0.05</v>
      </c>
      <c r="D120" s="22">
        <f t="shared" si="27"/>
        <v>1.05</v>
      </c>
    </row>
    <row r="121" spans="2:9" x14ac:dyDescent="0.25">
      <c r="B121" s="4"/>
      <c r="C121" s="18"/>
      <c r="D121" s="17"/>
    </row>
    <row r="122" spans="2:9" x14ac:dyDescent="0.25">
      <c r="B122" s="4"/>
      <c r="C122" s="18"/>
      <c r="D122" s="17"/>
    </row>
    <row r="123" spans="2:9" x14ac:dyDescent="0.25">
      <c r="B123" s="37" t="s">
        <v>102</v>
      </c>
      <c r="C123" s="37"/>
      <c r="D123" s="37"/>
      <c r="E123" s="37"/>
      <c r="F123" s="37"/>
      <c r="G123" s="37"/>
      <c r="H123" s="37"/>
    </row>
    <row r="124" spans="2:9" x14ac:dyDescent="0.25">
      <c r="B124" s="37" t="s">
        <v>103</v>
      </c>
      <c r="C124" s="37"/>
      <c r="D124" s="37"/>
      <c r="E124" s="37"/>
      <c r="F124" s="37"/>
      <c r="G124" s="37"/>
      <c r="H124" s="37"/>
    </row>
    <row r="125" spans="2:9" x14ac:dyDescent="0.25">
      <c r="B125" s="37" t="s">
        <v>104</v>
      </c>
      <c r="C125" s="37"/>
      <c r="D125" s="37"/>
      <c r="E125" s="37"/>
      <c r="F125" s="37"/>
      <c r="G125" s="37"/>
      <c r="H125" s="37"/>
    </row>
    <row r="126" spans="2:9" x14ac:dyDescent="0.25">
      <c r="B126" s="37"/>
      <c r="C126" s="37"/>
      <c r="D126" s="37"/>
      <c r="E126" s="37"/>
      <c r="F126" s="37"/>
      <c r="G126" s="37"/>
      <c r="H126" s="37"/>
    </row>
    <row r="127" spans="2:9" x14ac:dyDescent="0.25">
      <c r="B127" s="37" t="s">
        <v>101</v>
      </c>
      <c r="C127" s="37"/>
      <c r="D127" s="37"/>
      <c r="E127" s="37"/>
      <c r="F127" s="38"/>
      <c r="G127" s="38"/>
      <c r="H127" s="38"/>
      <c r="I127" s="36"/>
    </row>
    <row r="128" spans="2:9" x14ac:dyDescent="0.25">
      <c r="B128" s="37"/>
      <c r="C128" s="37"/>
      <c r="D128" s="37"/>
      <c r="E128" s="37"/>
      <c r="F128" s="37"/>
      <c r="G128" s="37"/>
      <c r="H128" s="37"/>
    </row>
    <row r="129" spans="2:8" x14ac:dyDescent="0.25">
      <c r="B129" s="37" t="s">
        <v>105</v>
      </c>
      <c r="C129" s="37"/>
      <c r="D129" s="37"/>
      <c r="E129" s="37"/>
      <c r="F129" s="37"/>
      <c r="G129" s="37"/>
      <c r="H129" s="37"/>
    </row>
    <row r="130" spans="2:8" x14ac:dyDescent="0.25">
      <c r="B130" s="37" t="s">
        <v>106</v>
      </c>
      <c r="C130" s="37"/>
      <c r="D130" s="37"/>
      <c r="E130" s="37"/>
      <c r="F130" s="37"/>
      <c r="G130" s="37"/>
      <c r="H130" s="37"/>
    </row>
    <row r="131" spans="2:8" x14ac:dyDescent="0.25">
      <c r="B131" s="37" t="s">
        <v>107</v>
      </c>
      <c r="C131" s="37"/>
      <c r="D131" s="37"/>
      <c r="E131" s="37"/>
      <c r="F131" s="37"/>
      <c r="G131" s="37"/>
      <c r="H131" s="37"/>
    </row>
    <row r="132" spans="2:8" x14ac:dyDescent="0.25">
      <c r="B132" s="37"/>
      <c r="C132" s="37"/>
      <c r="D132" s="37"/>
      <c r="E132" s="37"/>
      <c r="F132" s="37"/>
      <c r="G132" s="37"/>
      <c r="H132" s="37"/>
    </row>
    <row r="133" spans="2:8" x14ac:dyDescent="0.25">
      <c r="B133" s="37" t="s">
        <v>108</v>
      </c>
      <c r="C133" s="37"/>
      <c r="D133" s="37"/>
      <c r="E133" s="37"/>
      <c r="F133" s="37"/>
      <c r="G133" s="37"/>
      <c r="H133" s="37"/>
    </row>
    <row r="134" spans="2:8" x14ac:dyDescent="0.25">
      <c r="B134" s="37"/>
      <c r="C134" s="37"/>
      <c r="D134" s="37"/>
      <c r="E134" s="37"/>
      <c r="F134" s="37"/>
      <c r="G134" s="37"/>
      <c r="H134" s="37"/>
    </row>
    <row r="135" spans="2:8" x14ac:dyDescent="0.25">
      <c r="B135" s="37"/>
      <c r="C135" s="37"/>
      <c r="D135" s="37"/>
      <c r="E135" s="37"/>
      <c r="F135" s="37"/>
      <c r="G135" s="37"/>
      <c r="H135" s="37"/>
    </row>
    <row r="136" spans="2:8" x14ac:dyDescent="0.25">
      <c r="B136" s="50" t="s">
        <v>100</v>
      </c>
      <c r="C136" s="50"/>
      <c r="D136" s="50"/>
      <c r="E136" s="50"/>
      <c r="F136" s="50"/>
      <c r="G136" s="50"/>
      <c r="H136" s="50"/>
    </row>
    <row r="137" spans="2:8" x14ac:dyDescent="0.25">
      <c r="B137" s="41" t="s">
        <v>110</v>
      </c>
      <c r="C137" s="42"/>
      <c r="D137" s="42"/>
      <c r="E137" s="42"/>
      <c r="F137" s="42"/>
      <c r="G137" s="42"/>
      <c r="H137" s="43"/>
    </row>
    <row r="138" spans="2:8" x14ac:dyDescent="0.25">
      <c r="B138" s="44"/>
      <c r="C138" s="45"/>
      <c r="D138" s="45"/>
      <c r="E138" s="45"/>
      <c r="F138" s="45"/>
      <c r="G138" s="45"/>
      <c r="H138" s="46"/>
    </row>
    <row r="139" spans="2:8" x14ac:dyDescent="0.25">
      <c r="B139" s="44"/>
      <c r="C139" s="45"/>
      <c r="D139" s="45"/>
      <c r="E139" s="45"/>
      <c r="F139" s="45"/>
      <c r="G139" s="45"/>
      <c r="H139" s="46"/>
    </row>
    <row r="140" spans="2:8" x14ac:dyDescent="0.25">
      <c r="B140" s="44"/>
      <c r="C140" s="45"/>
      <c r="D140" s="45"/>
      <c r="E140" s="45"/>
      <c r="F140" s="45"/>
      <c r="G140" s="45"/>
      <c r="H140" s="46"/>
    </row>
    <row r="141" spans="2:8" x14ac:dyDescent="0.25">
      <c r="B141" s="44"/>
      <c r="C141" s="45"/>
      <c r="D141" s="45"/>
      <c r="E141" s="45"/>
      <c r="F141" s="45"/>
      <c r="G141" s="45"/>
      <c r="H141" s="46"/>
    </row>
    <row r="142" spans="2:8" x14ac:dyDescent="0.25">
      <c r="B142" s="44"/>
      <c r="C142" s="45"/>
      <c r="D142" s="45"/>
      <c r="E142" s="45"/>
      <c r="F142" s="45"/>
      <c r="G142" s="45"/>
      <c r="H142" s="46"/>
    </row>
    <row r="143" spans="2:8" x14ac:dyDescent="0.25">
      <c r="B143" s="44"/>
      <c r="C143" s="45"/>
      <c r="D143" s="45"/>
      <c r="E143" s="45"/>
      <c r="F143" s="45"/>
      <c r="G143" s="45"/>
      <c r="H143" s="46"/>
    </row>
    <row r="144" spans="2:8" x14ac:dyDescent="0.25">
      <c r="B144" s="47"/>
      <c r="C144" s="48"/>
      <c r="D144" s="48"/>
      <c r="E144" s="48"/>
      <c r="F144" s="48"/>
      <c r="G144" s="48"/>
      <c r="H144" s="49"/>
    </row>
    <row r="145" spans="2:8" x14ac:dyDescent="0.25">
      <c r="B145" s="37"/>
      <c r="C145" s="37"/>
      <c r="D145" s="37"/>
      <c r="E145" s="37"/>
      <c r="F145" s="37"/>
      <c r="G145" s="37"/>
      <c r="H145" s="37"/>
    </row>
    <row r="146" spans="2:8" x14ac:dyDescent="0.25">
      <c r="B146" s="37"/>
      <c r="C146" s="37"/>
      <c r="D146" s="37"/>
      <c r="E146" s="37"/>
      <c r="F146" s="37"/>
      <c r="G146" s="37"/>
      <c r="H146" s="37"/>
    </row>
    <row r="147" spans="2:8" x14ac:dyDescent="0.25">
      <c r="B147" s="37"/>
      <c r="C147" s="37"/>
      <c r="D147" s="37"/>
      <c r="E147" s="37"/>
      <c r="F147" s="37"/>
      <c r="G147" s="37"/>
      <c r="H147" s="37"/>
    </row>
  </sheetData>
  <mergeCells count="4">
    <mergeCell ref="C2:H2"/>
    <mergeCell ref="C114:D114"/>
    <mergeCell ref="B137:H144"/>
    <mergeCell ref="B136:H136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J62</xm:sqref>
            </x14:sparkline>
          </x14:sparklines>
        </x14:sparklineGroup>
        <x14:sparklineGroup displayEmptyCellsAs="gap" xr2:uid="{00000000-0003-0000-0000-000001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J101</xm:sqref>
            </x14:sparkline>
          </x14:sparklines>
        </x14:sparklineGroup>
        <x14:sparklineGroup displayEmptyCellsAs="gap" xr2:uid="{00000000-0003-0000-0000-000002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J83</xm:sqref>
            </x14:sparkline>
          </x14:sparklines>
        </x14:sparklineGroup>
        <x14:sparklineGroup displayEmptyCellsAs="gap" xr2:uid="{00000000-0003-0000-0000-000003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J43</xm:sqref>
            </x14:sparkline>
          </x14:sparklines>
        </x14:sparklineGroup>
        <x14:sparklineGroup displayEmptyCellsAs="gap" xr2:uid="{00000000-0003-0000-0000-000004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J42</xm:sqref>
            </x14:sparkline>
            <x14:sparkline>
              <xm:sqref>J52</xm:sqref>
            </x14:sparkline>
          </x14:sparklines>
        </x14:sparklineGroup>
        <x14:sparklineGroup displayEmptyCellsAs="gap" xr2:uid="{00000000-0003-0000-0000-000005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J41</xm:sqref>
            </x14:sparkline>
          </x14:sparklines>
        </x14:sparklineGroup>
        <x14:sparklineGroup displayEmptyCellsAs="gap" xr2:uid="{00000000-0003-0000-0000-000007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J64</xm:sqref>
            </x14:sparkline>
          </x14:sparklines>
        </x14:sparklineGroup>
        <x14:sparklineGroup displayEmptyCellsAs="gap" xr2:uid="{00000000-0003-0000-0000-000006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J29</xm:sqref>
            </x14:sparkline>
          </x14:sparklines>
        </x14:sparklineGroup>
        <x14:sparklineGroup displayEmptyCellsAs="gap" xr2:uid="{00000000-0003-0000-0000-000009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sqref>J9</xm:sqref>
            </x14:sparkline>
          </x14:sparklines>
        </x14:sparklineGroup>
        <x14:sparklineGroup displayEmptyCellsAs="gap" xr2:uid="{00000000-0003-0000-0000-00000A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sqref>J10</xm:sqref>
            </x14:sparkline>
          </x14:sparklines>
        </x14:sparklineGroup>
        <x14:sparklineGroup displayEmptyCellsAs="gap" xr2:uid="{00000000-0003-0000-0000-00000B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sqref>J11</xm:sqref>
            </x14:sparkline>
          </x14:sparklines>
        </x14:sparklineGroup>
        <x14:sparklineGroup displayEmptyCellsAs="gap" xr2:uid="{00000000-0003-0000-0000-00000D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J13</xm:sqref>
            </x14:sparkline>
          </x14:sparklines>
        </x14:sparklineGroup>
        <x14:sparklineGroup displayEmptyCellsAs="gap" xr2:uid="{00000000-0003-0000-0000-00000E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J14</xm:sqref>
            </x14:sparkline>
          </x14:sparklines>
        </x14:sparklineGroup>
        <x14:sparklineGroup displayEmptyCellsAs="gap" xr2:uid="{00000000-0003-0000-0000-00000F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J15</xm:sqref>
            </x14:sparkline>
          </x14:sparklines>
        </x14:sparklineGroup>
        <x14:sparklineGroup displayEmptyCellsAs="gap" xr2:uid="{00000000-0003-0000-0000-000010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J16</xm:sqref>
            </x14:sparkline>
          </x14:sparklines>
        </x14:sparklineGroup>
        <x14:sparklineGroup displayEmptyCellsAs="gap" xr2:uid="{00000000-0003-0000-0000-000011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J17</xm:sqref>
            </x14:sparkline>
          </x14:sparklines>
        </x14:sparklineGroup>
        <x14:sparklineGroup displayEmptyCellsAs="gap" xr2:uid="{00000000-0003-0000-0000-000012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J23</xm:sqref>
            </x14:sparkline>
          </x14:sparklines>
        </x14:sparklineGroup>
        <x14:sparklineGroup displayEmptyCellsAs="gap" xr2:uid="{00000000-0003-0000-0000-000013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J19</xm:sqref>
            </x14:sparkline>
          </x14:sparklines>
        </x14:sparklineGroup>
        <x14:sparklineGroup displayEmptyCellsAs="gap" xr2:uid="{00000000-0003-0000-0000-000014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J60</xm:sqref>
            </x14:sparkline>
          </x14:sparklines>
        </x14:sparklineGroup>
        <x14:sparklineGroup displayEmptyCellsAs="gap" xr2:uid="{00000000-0003-0000-0000-000015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J61</xm:sqref>
            </x14:sparkline>
          </x14:sparklines>
        </x14:sparklineGroup>
        <x14:sparklineGroup displayEmptyCellsAs="gap" xr2:uid="{00000000-0003-0000-0000-000016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J73</xm:sqref>
            </x14:sparkline>
          </x14:sparklines>
        </x14:sparklineGroup>
        <x14:sparklineGroup displayEmptyCellsAs="gap" xr2:uid="{00000000-0003-0000-0000-00001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sqref>J100</xm:sqref>
            </x14:sparkline>
          </x14:sparklines>
        </x14:sparklineGroup>
        <x14:sparklineGroup displayEmptyCellsAs="gap" xr2:uid="{00000000-0003-0000-0000-000018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sqref>J99</xm:sqref>
            </x14:sparkline>
          </x14:sparklines>
        </x14:sparklineGroup>
        <x14:sparklineGroup displayEmptyCellsAs="gap" xr2:uid="{00000000-0003-0000-0000-00001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sqref>J102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2025-11-22T20:50:09Z</dcterms:modified>
</cp:coreProperties>
</file>